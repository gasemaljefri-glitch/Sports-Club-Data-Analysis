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10512" activeTab="5"/>
  </bookViews>
  <sheets>
    <sheet name="مكتبة " sheetId="1" r:id="rId1"/>
    <sheet name="باقة الاتصالات" sheetId="2" r:id="rId2"/>
    <sheet name="ورقة 2" sheetId="3" r:id="rId3"/>
    <sheet name="Sheet3" sheetId="7" r:id="rId4"/>
    <sheet name="Sheet4" sheetId="8" r:id="rId5"/>
    <sheet name="Sheet2" sheetId="6" r:id="rId6"/>
    <sheet name="Sheet1" sheetId="5" r:id="rId7"/>
    <sheet name="استعاره الكتب " sheetId="4" r:id="rId8"/>
  </sheets>
  <calcPr calcId="162913"/>
  <pivotCaches>
    <pivotCache cacheId="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2" l="1"/>
  <c r="I17" i="2"/>
  <c r="I16" i="2"/>
  <c r="I15" i="2"/>
  <c r="I14" i="2"/>
  <c r="J18" i="2"/>
  <c r="J17" i="2"/>
  <c r="J16" i="2"/>
  <c r="J15" i="2"/>
  <c r="J14" i="2"/>
  <c r="D15" i="1" l="1"/>
  <c r="D16" i="1"/>
  <c r="D17" i="1"/>
  <c r="D18" i="1"/>
  <c r="D14" i="1"/>
  <c r="E15" i="1"/>
  <c r="E16" i="1"/>
  <c r="E17" i="1"/>
  <c r="E18" i="1"/>
  <c r="E14" i="1"/>
  <c r="F13" i="1"/>
</calcChain>
</file>

<file path=xl/sharedStrings.xml><?xml version="1.0" encoding="utf-8"?>
<sst xmlns="http://schemas.openxmlformats.org/spreadsheetml/2006/main" count="129" uniqueCount="64">
  <si>
    <t>رقم العميل</t>
  </si>
  <si>
    <t xml:space="preserve">المدينة </t>
  </si>
  <si>
    <t xml:space="preserve">نوع الباقة </t>
  </si>
  <si>
    <t>مفوتر</t>
  </si>
  <si>
    <t>مسبق الدفع</t>
  </si>
  <si>
    <t>الرياض</t>
  </si>
  <si>
    <t>جدة</t>
  </si>
  <si>
    <t>الدمام</t>
  </si>
  <si>
    <t>سعر الوحدة</t>
  </si>
  <si>
    <t xml:space="preserve">الكمية </t>
  </si>
  <si>
    <t xml:space="preserve">المنتج </t>
  </si>
  <si>
    <t>دفتر</t>
  </si>
  <si>
    <t>اقلام</t>
  </si>
  <si>
    <t>ممحاه</t>
  </si>
  <si>
    <t>الوان</t>
  </si>
  <si>
    <t>مساطر</t>
  </si>
  <si>
    <t xml:space="preserve">اختبار </t>
  </si>
  <si>
    <t>الدرجة النهائي</t>
  </si>
  <si>
    <t>المتوسط الدرجات</t>
  </si>
  <si>
    <t xml:space="preserve">قيمة الفاتورة </t>
  </si>
  <si>
    <t xml:space="preserve">اجمالي الفاتورة </t>
  </si>
  <si>
    <t>المتوسط</t>
  </si>
  <si>
    <t xml:space="preserve">عدد الفواتير </t>
  </si>
  <si>
    <t xml:space="preserve">اقل فاتورة </t>
  </si>
  <si>
    <t xml:space="preserve">اعلى فاتورة </t>
  </si>
  <si>
    <t>شهر</t>
  </si>
  <si>
    <t xml:space="preserve">عدد الكتب المستعار </t>
  </si>
  <si>
    <t>يناير</t>
  </si>
  <si>
    <t xml:space="preserve">فبراير </t>
  </si>
  <si>
    <t xml:space="preserve">مارس </t>
  </si>
  <si>
    <t xml:space="preserve">ابريل </t>
  </si>
  <si>
    <t xml:space="preserve">مايو </t>
  </si>
  <si>
    <t>يوليو</t>
  </si>
  <si>
    <t xml:space="preserve">احصائية استعارة الكتب من مكتبة المدرسة </t>
  </si>
  <si>
    <t>رقم الطلب</t>
  </si>
  <si>
    <t>تاريخ الطلب</t>
  </si>
  <si>
    <t>المنطقة</t>
  </si>
  <si>
    <t>الفئة</t>
  </si>
  <si>
    <t>اسم المنتج</t>
  </si>
  <si>
    <t>الكمية</t>
  </si>
  <si>
    <t>سعر الوحدة ($)</t>
  </si>
  <si>
    <t>إجمالي المبيعات ($)</t>
  </si>
  <si>
    <t>الوسطى</t>
  </si>
  <si>
    <t>إلكترونيات</t>
  </si>
  <si>
    <t>شاشة كمبيوتر 24 بوصة</t>
  </si>
  <si>
    <t>الغربية</t>
  </si>
  <si>
    <t>أثاث</t>
  </si>
  <si>
    <t>كرسي مكتب مريح</t>
  </si>
  <si>
    <t>الشرقية</t>
  </si>
  <si>
    <t>أدوات مكتبية</t>
  </si>
  <si>
    <t>طقم أقلام فاخر</t>
  </si>
  <si>
    <t>الشمالية</t>
  </si>
  <si>
    <t>لوحة مفاتيح لاسلكية</t>
  </si>
  <si>
    <t>طاولة اجتماعات</t>
  </si>
  <si>
    <t>ماوس لاسلكي</t>
  </si>
  <si>
    <t>خزانة ملفات</t>
  </si>
  <si>
    <t>ورق طباعة A4 (كرتون)</t>
  </si>
  <si>
    <t>سماعة رأس</t>
  </si>
  <si>
    <t>حاسبة علمية</t>
  </si>
  <si>
    <t>Sum of إجمالي المبيعات ($)</t>
  </si>
  <si>
    <t>Sum of سعر الوحدة ($)</t>
  </si>
  <si>
    <t>Sum of الكمية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</si>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</sst>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⃁-401]\ * #,##0.00_ ;_ [$⃁-401]\ * \-#,##0.00_ ;_ [$⃁-401]\ * &quot;-&quot;??_ ;_ @_ "/>
  </numFmts>
  <fonts count="6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B0F0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readingOrder="1"/>
    </xf>
    <xf numFmtId="164" fontId="2" fillId="0" borderId="1" xfId="0" applyNumberFormat="1" applyFont="1" applyBorder="1" applyAlignment="1">
      <alignment readingOrder="2"/>
    </xf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4" borderId="2" xfId="0" applyFill="1" applyBorder="1"/>
    <xf numFmtId="0" fontId="0" fillId="5" borderId="2" xfId="0" applyFill="1" applyBorder="1"/>
    <xf numFmtId="0" fontId="0" fillId="4" borderId="2" xfId="0" applyFill="1" applyBorder="1" applyAlignment="1">
      <alignment horizontal="center"/>
    </xf>
    <xf numFmtId="0" fontId="0" fillId="6" borderId="2" xfId="0" applyFill="1" applyBorder="1"/>
    <xf numFmtId="0" fontId="0" fillId="6" borderId="0" xfId="0" applyFill="1" applyAlignment="1">
      <alignment horizontal="center" vertical="center"/>
    </xf>
    <xf numFmtId="0" fontId="5" fillId="0" borderId="3" xfId="0" applyFont="1" applyBorder="1" applyAlignment="1">
      <alignment vertical="center" wrapText="1" readingOrder="2"/>
    </xf>
    <xf numFmtId="0" fontId="4" fillId="0" borderId="3" xfId="0" applyFont="1" applyBorder="1" applyAlignment="1">
      <alignment vertical="center" wrapText="1" readingOrder="2"/>
    </xf>
    <xf numFmtId="14" fontId="0" fillId="0" borderId="0" xfId="0" applyNumberFormat="1"/>
    <xf numFmtId="14" fontId="4" fillId="0" borderId="3" xfId="0" applyNumberFormat="1" applyFont="1" applyBorder="1" applyAlignment="1">
      <alignment vertical="center" wrapText="1" readingOrder="2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19" formatCode="m/d/yyyy"/>
    </dxf>
    <dxf>
      <numFmt numFmtId="19" formatCode="m/d/yyyy"/>
    </dxf>
    <dxf>
      <fill>
        <patternFill>
          <fgColor indexed="64"/>
          <bgColor rgb="FFFFFF00"/>
        </patternFill>
      </fill>
    </dxf>
    <dxf>
      <fill>
        <patternFill patternType="solid">
          <fgColor indexed="64"/>
          <bgColor rgb="FF00B0F0"/>
        </patternFill>
      </fill>
    </dxf>
    <dxf>
      <alignment horizontal="general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</dxf>
    <dxf>
      <fill>
        <patternFill patternType="solid">
          <fgColor indexed="64"/>
          <bgColor rgb="FF00B0F0"/>
        </patternFill>
      </fill>
    </dxf>
    <dxf>
      <fill>
        <patternFill>
          <fgColor indexed="64"/>
          <bgColor rgb="FFFFFF00"/>
        </patternFill>
      </fill>
    </dxf>
    <dxf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Sheet2!$M$2</c:f>
              <c:strCache>
                <c:ptCount val="1"/>
                <c:pt idx="0">
                  <c:v>Sum of إجمالي المبيعات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Sheet2!$L$3:$L$6</c:f>
              <c:strCache>
                <c:ptCount val="3"/>
                <c:pt idx="0">
                  <c:v>أثاث</c:v>
                </c:pt>
                <c:pt idx="1">
                  <c:v>أدوات مكتبية</c:v>
                </c:pt>
                <c:pt idx="2">
                  <c:v>إلكترونيات</c:v>
                </c:pt>
              </c:strCache>
            </c:strRef>
          </c:cat>
          <c:val>
            <c:numRef>
              <c:f>Sheet2!$M$3:$M$6</c:f>
              <c:numCache>
                <c:formatCode>General</c:formatCode>
                <c:ptCount val="3"/>
                <c:pt idx="0">
                  <c:v>1370</c:v>
                </c:pt>
                <c:pt idx="1">
                  <c:v>810</c:v>
                </c:pt>
                <c:pt idx="2">
                  <c:v>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F-47AB-A6C4-70A45BBF90F4}"/>
            </c:ext>
          </c:extLst>
        </c:ser>
        <c:ser>
          <c:idx val="1"/>
          <c:order val="1"/>
          <c:tx>
            <c:strRef>
              <c:f>Sheet2!$N$2</c:f>
              <c:strCache>
                <c:ptCount val="1"/>
                <c:pt idx="0">
                  <c:v>Sum of الكمية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Sheet2!$L$3:$L$6</c:f>
              <c:strCache>
                <c:ptCount val="3"/>
                <c:pt idx="0">
                  <c:v>أثاث</c:v>
                </c:pt>
                <c:pt idx="1">
                  <c:v>أدوات مكتبية</c:v>
                </c:pt>
                <c:pt idx="2">
                  <c:v>إلكترونيات</c:v>
                </c:pt>
              </c:strCache>
            </c:strRef>
          </c:cat>
          <c:val>
            <c:numRef>
              <c:f>Sheet2!$N$3:$N$6</c:f>
              <c:numCache>
                <c:formatCode>General</c:formatCode>
                <c:ptCount val="3"/>
                <c:pt idx="0">
                  <c:v>8</c:v>
                </c:pt>
                <c:pt idx="1">
                  <c:v>31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F-47AB-A6C4-70A45BBF90F4}"/>
            </c:ext>
          </c:extLst>
        </c:ser>
        <c:ser>
          <c:idx val="2"/>
          <c:order val="2"/>
          <c:tx>
            <c:strRef>
              <c:f>Sheet2!$O$2</c:f>
              <c:strCache>
                <c:ptCount val="1"/>
                <c:pt idx="0">
                  <c:v>Sum of سعر الوحدة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Sheet2!$L$3:$L$6</c:f>
              <c:strCache>
                <c:ptCount val="3"/>
                <c:pt idx="0">
                  <c:v>أثاث</c:v>
                </c:pt>
                <c:pt idx="1">
                  <c:v>أدوات مكتبية</c:v>
                </c:pt>
                <c:pt idx="2">
                  <c:v>إلكترونيات</c:v>
                </c:pt>
              </c:strCache>
            </c:strRef>
          </c:cat>
          <c:val>
            <c:numRef>
              <c:f>Sheet2!$O$3:$O$6</c:f>
              <c:numCache>
                <c:formatCode>General</c:formatCode>
                <c:ptCount val="3"/>
                <c:pt idx="0">
                  <c:v>840</c:v>
                </c:pt>
                <c:pt idx="1">
                  <c:v>80</c:v>
                </c:pt>
                <c:pt idx="2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F-47AB-A6C4-70A45BBF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1478543"/>
        <c:axId val="1288014303"/>
      </c:barChart>
      <c:catAx>
        <c:axId val="14514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288014303"/>
        <c:crosses val="autoZero"/>
        <c:auto val="1"/>
        <c:lblAlgn val="ctr"/>
        <c:lblOffset val="100"/>
        <c:noMultiLvlLbl val="0"/>
      </c:catAx>
      <c:valAx>
        <c:axId val="128801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45147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[Sales_Analysis_Dashboard.xlsx]Sheet2!PivotTable1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Sheet2!$M$2</c:f>
              <c:strCache>
                <c:ptCount val="1"/>
                <c:pt idx="0">
                  <c:v>Sum of إجمالي المبيعات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Sheet2!$L$3:$L$6</c:f>
              <c:strCache>
                <c:ptCount val="3"/>
                <c:pt idx="0">
                  <c:v>أثاث</c:v>
                </c:pt>
                <c:pt idx="1">
                  <c:v>أدوات مكتبية</c:v>
                </c:pt>
                <c:pt idx="2">
                  <c:v>إلكترونيات</c:v>
                </c:pt>
              </c:strCache>
            </c:strRef>
          </c:cat>
          <c:val>
            <c:numRef>
              <c:f>Sheet2!$M$3:$M$6</c:f>
              <c:numCache>
                <c:formatCode>General</c:formatCode>
                <c:ptCount val="3"/>
                <c:pt idx="0">
                  <c:v>1370</c:v>
                </c:pt>
                <c:pt idx="1">
                  <c:v>810</c:v>
                </c:pt>
                <c:pt idx="2">
                  <c:v>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B-42E3-B413-EB70525B40B6}"/>
            </c:ext>
          </c:extLst>
        </c:ser>
        <c:ser>
          <c:idx val="1"/>
          <c:order val="1"/>
          <c:tx>
            <c:strRef>
              <c:f>Sheet2!$N$2</c:f>
              <c:strCache>
                <c:ptCount val="1"/>
                <c:pt idx="0">
                  <c:v>Sum of الكمية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Sheet2!$L$3:$L$6</c:f>
              <c:strCache>
                <c:ptCount val="3"/>
                <c:pt idx="0">
                  <c:v>أثاث</c:v>
                </c:pt>
                <c:pt idx="1">
                  <c:v>أدوات مكتبية</c:v>
                </c:pt>
                <c:pt idx="2">
                  <c:v>إلكترونيات</c:v>
                </c:pt>
              </c:strCache>
            </c:strRef>
          </c:cat>
          <c:val>
            <c:numRef>
              <c:f>Sheet2!$N$3:$N$6</c:f>
              <c:numCache>
                <c:formatCode>General</c:formatCode>
                <c:ptCount val="3"/>
                <c:pt idx="0">
                  <c:v>8</c:v>
                </c:pt>
                <c:pt idx="1">
                  <c:v>31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B-42E3-B413-EB70525B40B6}"/>
            </c:ext>
          </c:extLst>
        </c:ser>
        <c:ser>
          <c:idx val="2"/>
          <c:order val="2"/>
          <c:tx>
            <c:strRef>
              <c:f>Sheet2!$O$2</c:f>
              <c:strCache>
                <c:ptCount val="1"/>
                <c:pt idx="0">
                  <c:v>Sum of سعر الوحدة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Sheet2!$L$3:$L$6</c:f>
              <c:strCache>
                <c:ptCount val="3"/>
                <c:pt idx="0">
                  <c:v>أثاث</c:v>
                </c:pt>
                <c:pt idx="1">
                  <c:v>أدوات مكتبية</c:v>
                </c:pt>
                <c:pt idx="2">
                  <c:v>إلكترونيات</c:v>
                </c:pt>
              </c:strCache>
            </c:strRef>
          </c:cat>
          <c:val>
            <c:numRef>
              <c:f>Sheet2!$O$3:$O$6</c:f>
              <c:numCache>
                <c:formatCode>General</c:formatCode>
                <c:ptCount val="3"/>
                <c:pt idx="0">
                  <c:v>840</c:v>
                </c:pt>
                <c:pt idx="1">
                  <c:v>80</c:v>
                </c:pt>
                <c:pt idx="2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AB-42E3-B413-EB70525B4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1477711"/>
        <c:axId val="1452618767"/>
      </c:barChart>
      <c:catAx>
        <c:axId val="1451477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452618767"/>
        <c:crosses val="autoZero"/>
        <c:auto val="1"/>
        <c:lblAlgn val="ctr"/>
        <c:lblOffset val="100"/>
        <c:noMultiLvlLbl val="0"/>
      </c:catAx>
      <c:valAx>
        <c:axId val="145261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45147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[Sales_Analysis_Dashboard.xlsx]Sheet2!PivotTable1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Sheet2!$M$2</c:f>
              <c:strCache>
                <c:ptCount val="1"/>
                <c:pt idx="0">
                  <c:v>Sum of إجمالي المبيعات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Sheet2!$L$3:$L$6</c:f>
              <c:strCache>
                <c:ptCount val="3"/>
                <c:pt idx="0">
                  <c:v>أثاث</c:v>
                </c:pt>
                <c:pt idx="1">
                  <c:v>أدوات مكتبية</c:v>
                </c:pt>
                <c:pt idx="2">
                  <c:v>إلكترونيات</c:v>
                </c:pt>
              </c:strCache>
            </c:strRef>
          </c:cat>
          <c:val>
            <c:numRef>
              <c:f>Sheet2!$M$3:$M$6</c:f>
              <c:numCache>
                <c:formatCode>General</c:formatCode>
                <c:ptCount val="3"/>
                <c:pt idx="0">
                  <c:v>1370</c:v>
                </c:pt>
                <c:pt idx="1">
                  <c:v>810</c:v>
                </c:pt>
                <c:pt idx="2">
                  <c:v>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D-4092-9784-6581C986CABE}"/>
            </c:ext>
          </c:extLst>
        </c:ser>
        <c:ser>
          <c:idx val="1"/>
          <c:order val="1"/>
          <c:tx>
            <c:strRef>
              <c:f>Sheet2!$N$2</c:f>
              <c:strCache>
                <c:ptCount val="1"/>
                <c:pt idx="0">
                  <c:v>Sum of الكمية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Sheet2!$L$3:$L$6</c:f>
              <c:strCache>
                <c:ptCount val="3"/>
                <c:pt idx="0">
                  <c:v>أثاث</c:v>
                </c:pt>
                <c:pt idx="1">
                  <c:v>أدوات مكتبية</c:v>
                </c:pt>
                <c:pt idx="2">
                  <c:v>إلكترونيات</c:v>
                </c:pt>
              </c:strCache>
            </c:strRef>
          </c:cat>
          <c:val>
            <c:numRef>
              <c:f>Sheet2!$N$3:$N$6</c:f>
              <c:numCache>
                <c:formatCode>General</c:formatCode>
                <c:ptCount val="3"/>
                <c:pt idx="0">
                  <c:v>8</c:v>
                </c:pt>
                <c:pt idx="1">
                  <c:v>31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AD-4092-9784-6581C986CABE}"/>
            </c:ext>
          </c:extLst>
        </c:ser>
        <c:ser>
          <c:idx val="2"/>
          <c:order val="2"/>
          <c:tx>
            <c:strRef>
              <c:f>Sheet2!$O$2</c:f>
              <c:strCache>
                <c:ptCount val="1"/>
                <c:pt idx="0">
                  <c:v>Sum of سعر الوحدة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Sheet2!$L$3:$L$6</c:f>
              <c:strCache>
                <c:ptCount val="3"/>
                <c:pt idx="0">
                  <c:v>أثاث</c:v>
                </c:pt>
                <c:pt idx="1">
                  <c:v>أدوات مكتبية</c:v>
                </c:pt>
                <c:pt idx="2">
                  <c:v>إلكترونيات</c:v>
                </c:pt>
              </c:strCache>
            </c:strRef>
          </c:cat>
          <c:val>
            <c:numRef>
              <c:f>Sheet2!$O$3:$O$6</c:f>
              <c:numCache>
                <c:formatCode>General</c:formatCode>
                <c:ptCount val="3"/>
                <c:pt idx="0">
                  <c:v>840</c:v>
                </c:pt>
                <c:pt idx="1">
                  <c:v>80</c:v>
                </c:pt>
                <c:pt idx="2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AD-4092-9784-6581C986C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'استعاره الكتب '!$P$6:$Q$6</c:f>
              <c:strCache>
                <c:ptCount val="2"/>
                <c:pt idx="0">
                  <c:v>عدد الكتب المستعار </c:v>
                </c:pt>
                <c:pt idx="1">
                  <c:v>شهر</c:v>
                </c:pt>
              </c:strCache>
            </c:strRef>
          </c:cat>
          <c:val>
            <c:numRef>
              <c:f>'استعاره الكتب '!$P$7:$Q$7</c:f>
              <c:numCache>
                <c:formatCode>General</c:formatCode>
                <c:ptCount val="2"/>
                <c:pt idx="0">
                  <c:v>120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0-4CC5-AA35-851D89245D84}"/>
            </c:ext>
          </c:extLst>
        </c:ser>
        <c:ser>
          <c:idx val="1"/>
          <c:order val="1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'استعاره الكتب '!$P$6:$Q$6</c:f>
              <c:strCache>
                <c:ptCount val="2"/>
                <c:pt idx="0">
                  <c:v>عدد الكتب المستعار </c:v>
                </c:pt>
                <c:pt idx="1">
                  <c:v>شهر</c:v>
                </c:pt>
              </c:strCache>
            </c:strRef>
          </c:cat>
          <c:val>
            <c:numRef>
              <c:f>'استعاره الكتب '!$P$8:$Q$8</c:f>
              <c:numCache>
                <c:formatCode>General</c:formatCode>
                <c:ptCount val="2"/>
                <c:pt idx="0">
                  <c:v>150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0-4CC5-AA35-851D89245D84}"/>
            </c:ext>
          </c:extLst>
        </c:ser>
        <c:ser>
          <c:idx val="2"/>
          <c:order val="2"/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'استعاره الكتب '!$P$6:$Q$6</c:f>
              <c:strCache>
                <c:ptCount val="2"/>
                <c:pt idx="0">
                  <c:v>عدد الكتب المستعار </c:v>
                </c:pt>
                <c:pt idx="1">
                  <c:v>شهر</c:v>
                </c:pt>
              </c:strCache>
            </c:strRef>
          </c:cat>
          <c:val>
            <c:numRef>
              <c:f>'استعاره الكتب '!$P$9:$Q$9</c:f>
              <c:numCache>
                <c:formatCode>General</c:formatCode>
                <c:ptCount val="2"/>
                <c:pt idx="0">
                  <c:v>180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0-4CC5-AA35-851D89245D84}"/>
            </c:ext>
          </c:extLst>
        </c:ser>
        <c:ser>
          <c:idx val="3"/>
          <c:order val="3"/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'استعاره الكتب '!$P$6:$Q$6</c:f>
              <c:strCache>
                <c:ptCount val="2"/>
                <c:pt idx="0">
                  <c:v>عدد الكتب المستعار </c:v>
                </c:pt>
                <c:pt idx="1">
                  <c:v>شهر</c:v>
                </c:pt>
              </c:strCache>
            </c:strRef>
          </c:cat>
          <c:val>
            <c:numRef>
              <c:f>'استعاره الكتب '!$P$10:$Q$10</c:f>
              <c:numCache>
                <c:formatCode>General</c:formatCode>
                <c:ptCount val="2"/>
                <c:pt idx="0">
                  <c:v>160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0-4CC5-AA35-851D89245D84}"/>
            </c:ext>
          </c:extLst>
        </c:ser>
        <c:ser>
          <c:idx val="4"/>
          <c:order val="4"/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'استعاره الكتب '!$P$6:$Q$6</c:f>
              <c:strCache>
                <c:ptCount val="2"/>
                <c:pt idx="0">
                  <c:v>عدد الكتب المستعار </c:v>
                </c:pt>
                <c:pt idx="1">
                  <c:v>شهر</c:v>
                </c:pt>
              </c:strCache>
            </c:strRef>
          </c:cat>
          <c:val>
            <c:numRef>
              <c:f>'استعاره الكتب '!$P$11:$Q$11</c:f>
              <c:numCache>
                <c:formatCode>General</c:formatCode>
                <c:ptCount val="2"/>
                <c:pt idx="0">
                  <c:v>210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0-4CC5-AA35-851D89245D84}"/>
            </c:ext>
          </c:extLst>
        </c:ser>
        <c:ser>
          <c:idx val="5"/>
          <c:order val="5"/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'استعاره الكتب '!$P$6:$Q$6</c:f>
              <c:strCache>
                <c:ptCount val="2"/>
                <c:pt idx="0">
                  <c:v>عدد الكتب المستعار </c:v>
                </c:pt>
                <c:pt idx="1">
                  <c:v>شهر</c:v>
                </c:pt>
              </c:strCache>
            </c:strRef>
          </c:cat>
          <c:val>
            <c:numRef>
              <c:f>'استعاره الكتب '!$P$12:$Q$12</c:f>
              <c:numCache>
                <c:formatCode>General</c:formatCode>
                <c:ptCount val="2"/>
                <c:pt idx="0">
                  <c:v>190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60-4CC5-AA35-851D89245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987050671"/>
        <c:axId val="1987046511"/>
      </c:barChart>
      <c:catAx>
        <c:axId val="198705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87046511"/>
        <c:crosses val="autoZero"/>
        <c:auto val="1"/>
        <c:lblAlgn val="ctr"/>
        <c:lblOffset val="100"/>
        <c:noMultiLvlLbl val="0"/>
      </c:catAx>
      <c:valAx>
        <c:axId val="19870465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8705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>
        <c:manualLayout>
          <c:layoutTarget val="inner"/>
          <c:xMode val="edge"/>
          <c:yMode val="edge"/>
          <c:x val="4.4637961147049925E-2"/>
          <c:y val="0.19655537890832012"/>
          <c:w val="0.88460615285542843"/>
          <c:h val="0.562674160960404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'استعاره الكتب '!$P$6</c:f>
              <c:strCache>
                <c:ptCount val="1"/>
                <c:pt idx="0">
                  <c:v>عدد الكتب المستعار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'استعاره الكتب '!$P$7:$P$11</c:f>
              <c:numCache>
                <c:formatCode>General</c:formatCode>
                <c:ptCount val="5"/>
                <c:pt idx="0">
                  <c:v>120</c:v>
                </c:pt>
                <c:pt idx="1">
                  <c:v>150</c:v>
                </c:pt>
                <c:pt idx="2">
                  <c:v>180</c:v>
                </c:pt>
                <c:pt idx="3">
                  <c:v>160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6-4FDC-AAF2-12519710406D}"/>
            </c:ext>
          </c:extLst>
        </c:ser>
        <c:ser>
          <c:idx val="1"/>
          <c:order val="1"/>
          <c:tx>
            <c:strRef>
              <c:f>'استعاره الكتب '!$Q$6</c:f>
              <c:strCache>
                <c:ptCount val="1"/>
                <c:pt idx="0">
                  <c:v>شهر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'استعاره الكتب '!$Q$7:$Q$11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6-4FDC-AAF2-125197104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9804511"/>
        <c:axId val="2029819903"/>
      </c:barChart>
      <c:catAx>
        <c:axId val="202980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29819903"/>
        <c:crosses val="autoZero"/>
        <c:auto val="1"/>
        <c:lblAlgn val="ctr"/>
        <c:lblOffset val="100"/>
        <c:noMultiLvlLbl val="0"/>
      </c:catAx>
      <c:valAx>
        <c:axId val="202981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2980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1303020</xdr:colOff>
      <xdr:row>0</xdr:row>
      <xdr:rowOff>91440</xdr:rowOff>
    </xdr:from>
    <xdr:to>
      <xdr:col>10</xdr:col>
      <xdr:colOff>1432560</xdr:colOff>
      <xdr:row>16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167640</xdr:colOff>
      <xdr:row>13</xdr:row>
      <xdr:rowOff>114300</xdr:rowOff>
    </xdr:from>
    <xdr:to>
      <xdr:col>14</xdr:col>
      <xdr:colOff>1181100</xdr:colOff>
      <xdr:row>33</xdr:row>
      <xdr:rowOff>7620</xdr:rowOff>
    </xdr:to>
    <xdr:sp macro="" textlink="">
      <xdr:nvSpPr>
        <xdr:cNvPr id="3" name="TextBox 2"/>
        <xdr:cNvSpPr txBox="1"/>
      </xdr:nvSpPr>
      <xdr:spPr>
        <a:xfrm>
          <a:off x="12915900" y="2392680"/>
          <a:ext cx="4328160" cy="3398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/>
            <a:t>ما هو </a:t>
          </a:r>
          <a:r>
            <a:rPr lang="ar-SA" b="1"/>
            <a:t>إجمالي المبيعات الكلي</a:t>
          </a:r>
          <a:r>
            <a:rPr lang="ar-SA"/>
            <a:t> لجميع الطلبات؟</a:t>
          </a:r>
        </a:p>
        <a:p>
          <a:pPr algn="ctr"/>
          <a:r>
            <a:rPr lang="en-US" sz="1100"/>
            <a:t>(</a:t>
          </a:r>
          <a:r>
            <a:rPr lang="ar-SA" sz="1100"/>
            <a:t>3055</a:t>
          </a:r>
          <a:r>
            <a:rPr lang="en-US" sz="1100"/>
            <a:t>)</a:t>
          </a:r>
          <a:endParaRPr lang="ar-SA" sz="1100"/>
        </a:p>
        <a:p>
          <a:pPr algn="ctr"/>
          <a:endParaRPr lang="ar-SA" sz="110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/>
            <a:t>ما هو </a:t>
          </a:r>
          <a:r>
            <a:rPr lang="ar-SA" b="1"/>
            <a:t>إجمالي عدد القطع المباعة</a:t>
          </a:r>
          <a:r>
            <a:rPr lang="en-US" b="1"/>
            <a:t>(</a:t>
          </a:r>
          <a:r>
            <a:rPr lang="ar-SA" b="1"/>
            <a:t> </a:t>
          </a:r>
          <a:r>
            <a:rPr lang="af-ZA" b="1"/>
            <a:t>Total Quantity)</a:t>
          </a:r>
          <a:r>
            <a:rPr lang="af-ZA"/>
            <a:t>؟</a:t>
          </a:r>
        </a:p>
        <a:p>
          <a:pPr algn="ctr"/>
          <a:r>
            <a:rPr lang="en-US" sz="1100"/>
            <a:t>(56)</a:t>
          </a:r>
        </a:p>
        <a:p>
          <a:pPr algn="ctr"/>
          <a:endParaRPr lang="en-US" sz="110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/>
            <a:t>ما هو </a:t>
          </a:r>
          <a:r>
            <a:rPr lang="ar-SA" b="1"/>
            <a:t>متوسط قيمة الطلب الواحد </a:t>
          </a:r>
          <a:r>
            <a:rPr lang="en-US" b="1"/>
            <a:t>(</a:t>
          </a:r>
          <a:r>
            <a:rPr lang="af-ZA" b="1"/>
            <a:t>Average Order Value)</a:t>
          </a:r>
          <a:r>
            <a:rPr lang="af-ZA"/>
            <a:t>؟</a:t>
          </a:r>
        </a:p>
        <a:p>
          <a:pPr algn="ctr"/>
          <a:r>
            <a:rPr lang="en-US" sz="1100"/>
            <a:t>(</a:t>
          </a:r>
          <a:r>
            <a:rPr lang="ar-SA" sz="1100"/>
            <a:t>305$</a:t>
          </a:r>
          <a:r>
            <a:rPr lang="en-US" sz="1100"/>
            <a:t>)</a:t>
          </a:r>
        </a:p>
        <a:p>
          <a:pPr algn="ctr"/>
          <a:endParaRPr lang="en-US" sz="1100"/>
        </a:p>
        <a:p>
          <a:pPr algn="ctr"/>
          <a:r>
            <a:rPr lang="ar-SA"/>
            <a:t>ما هي </a:t>
          </a:r>
          <a:r>
            <a:rPr lang="ar-SA" b="1"/>
            <a:t>أعلى فئة</a:t>
          </a:r>
          <a:r>
            <a:rPr lang="ar-SA"/>
            <a:t> تحقيقاً للمبيعات (إلكترونيات أم أثاث أم أدوات مكتبية)؟</a:t>
          </a:r>
          <a:endParaRPr lang="en-US"/>
        </a:p>
        <a:p>
          <a:pPr algn="ctr"/>
          <a:r>
            <a:rPr lang="ar-SA" sz="1100"/>
            <a:t>أثاث</a:t>
          </a:r>
        </a:p>
        <a:p>
          <a:pPr algn="ctr"/>
          <a:endParaRPr lang="ar-SA" sz="110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/>
            <a:t>ما هو </a:t>
          </a:r>
          <a:r>
            <a:rPr lang="ar-SA" b="1"/>
            <a:t>المنتج الأكثر مبيعاً</a:t>
          </a:r>
          <a:r>
            <a:rPr lang="ar-SA"/>
            <a:t> من حيث المبلغ الإجمالي؟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طاولة</a:t>
          </a:r>
          <a:r>
            <a:rPr lang="ar-SA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اجتماعات</a:t>
          </a:r>
          <a:endParaRPr lang="ar-SA">
            <a:effectLst/>
          </a:endParaRPr>
        </a:p>
        <a:p>
          <a:pPr algn="ctr"/>
          <a:endParaRPr lang="ar-SA" sz="1100"/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/>
            <a:t>ما هي </a:t>
          </a:r>
          <a:r>
            <a:rPr lang="ar-SA" b="1"/>
            <a:t>أكثر منطقة</a:t>
          </a:r>
          <a:r>
            <a:rPr lang="ar-SA"/>
            <a:t> تحقيقاً للإيرادات؟</a:t>
          </a:r>
        </a:p>
        <a:p>
          <a:pPr algn="ctr"/>
          <a:r>
            <a:rPr lang="ar-SA" sz="1100"/>
            <a:t>الوسطى</a:t>
          </a:r>
        </a:p>
        <a:p>
          <a:pPr algn="ctr"/>
          <a:endParaRPr lang="ar-SA" sz="1100"/>
        </a:p>
        <a:p>
          <a:pPr algn="ctr"/>
          <a:endParaRPr lang="ar-SA" sz="1100"/>
        </a:p>
      </xdr:txBody>
    </xdr:sp>
    <xdr:clientData/>
  </xdr:twoCellAnchor>
  <xdr:twoCellAnchor>
    <xdr:from>
      <xdr:col>3</xdr:col>
      <xdr:colOff>982980</xdr:colOff>
      <xdr:row>17</xdr:row>
      <xdr:rowOff>19050</xdr:rowOff>
    </xdr:from>
    <xdr:to>
      <xdr:col>9</xdr:col>
      <xdr:colOff>632460</xdr:colOff>
      <xdr:row>32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312420</xdr:colOff>
      <xdr:row>0</xdr:row>
      <xdr:rowOff>15240</xdr:rowOff>
    </xdr:from>
    <xdr:to>
      <xdr:col>6</xdr:col>
      <xdr:colOff>1234440</xdr:colOff>
      <xdr:row>15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403860</xdr:colOff>
      <xdr:row>13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14</xdr:row>
      <xdr:rowOff>83820</xdr:rowOff>
    </xdr:from>
    <xdr:to>
      <xdr:col>6</xdr:col>
      <xdr:colOff>205740</xdr:colOff>
      <xdr:row>28</xdr:row>
      <xdr:rowOff>26670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75.448074884262" createdVersion="6" refreshedVersion="6" minRefreshableVersion="3" recordCount="10">
  <cacheSource type="worksheet">
    <worksheetSource ref="G6:N16" sheet="Sheet1"/>
  </cacheSource>
  <cacheFields count="8">
    <cacheField name="رقم الطلب" numFmtId="0">
      <sharedItems containsSemiMixedTypes="0" containsString="0" containsNumber="1" containsInteger="1" minValue="1001" maxValue="1010"/>
    </cacheField>
    <cacheField name="تاريخ الطلب" numFmtId="14">
      <sharedItems containsSemiMixedTypes="0" containsNonDate="0" containsDate="1" containsString="0" minDate="2024-01-05T00:00:00" maxDate="2024-01-29T00:00:00" count="10">
        <d v="2024-01-05T00:00:00"/>
        <d v="2024-01-07T00:00:00"/>
        <d v="2024-01-10T00:00:00"/>
        <d v="2024-01-12T00:00:00"/>
        <d v="2024-01-15T00:00:00"/>
        <d v="2024-01-18T00:00:00"/>
        <d v="2024-01-20T00:00:00"/>
        <d v="2024-01-22T00:00:00"/>
        <d v="2024-01-25T00:00:00"/>
        <d v="2024-01-28T00:00:00"/>
      </sharedItems>
    </cacheField>
    <cacheField name="المنطقة" numFmtId="0">
      <sharedItems count="4">
        <s v="الوسطى"/>
        <s v="الغربية"/>
        <s v="الشرقية"/>
        <s v="الشمالية"/>
      </sharedItems>
    </cacheField>
    <cacheField name="الفئة" numFmtId="0">
      <sharedItems count="3">
        <s v="إلكترونيات"/>
        <s v="أثاث"/>
        <s v="أدوات مكتبية"/>
      </sharedItems>
    </cacheField>
    <cacheField name="اسم المنتج" numFmtId="0">
      <sharedItems count="10">
        <s v="شاشة كمبيوتر 24 بوصة"/>
        <s v="كرسي مكتب مريح"/>
        <s v="طقم أقلام فاخر"/>
        <s v="لوحة مفاتيح لاسلكية"/>
        <s v="طاولة اجتماعات"/>
        <s v="ماوس لاسلكي"/>
        <s v="خزانة ملفات"/>
        <s v="ورق طباعة A4 (كرتون)"/>
        <s v="سماعة رأس"/>
        <s v="حاسبة علمية"/>
      </sharedItems>
    </cacheField>
    <cacheField name="الكمية" numFmtId="0">
      <sharedItems containsSemiMixedTypes="0" containsString="0" containsNumber="1" containsInteger="1" minValue="1" maxValue="15"/>
    </cacheField>
    <cacheField name="سعر الوحدة ($)" numFmtId="0">
      <sharedItems containsSemiMixedTypes="0" containsString="0" containsNumber="1" containsInteger="1" minValue="15" maxValue="550"/>
    </cacheField>
    <cacheField name="إجمالي المبيعات ($)" numFmtId="0">
      <sharedItems containsSemiMixedTypes="0" containsString="0" containsNumber="1" containsInteger="1" minValue="135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x v="0"/>
    <x v="0"/>
    <x v="0"/>
    <x v="0"/>
    <n v="2"/>
    <n v="150"/>
    <n v="300"/>
  </r>
  <r>
    <n v="1002"/>
    <x v="1"/>
    <x v="1"/>
    <x v="1"/>
    <x v="1"/>
    <n v="5"/>
    <n v="80"/>
    <n v="400"/>
  </r>
  <r>
    <n v="1003"/>
    <x v="2"/>
    <x v="2"/>
    <x v="2"/>
    <x v="2"/>
    <n v="10"/>
    <n v="15"/>
    <n v="150"/>
  </r>
  <r>
    <n v="1004"/>
    <x v="3"/>
    <x v="3"/>
    <x v="0"/>
    <x v="3"/>
    <n v="3"/>
    <n v="45"/>
    <n v="135"/>
  </r>
  <r>
    <n v="1005"/>
    <x v="4"/>
    <x v="0"/>
    <x v="1"/>
    <x v="4"/>
    <n v="1"/>
    <n v="550"/>
    <n v="550"/>
  </r>
  <r>
    <n v="1006"/>
    <x v="5"/>
    <x v="1"/>
    <x v="0"/>
    <x v="5"/>
    <n v="8"/>
    <n v="25"/>
    <n v="200"/>
  </r>
  <r>
    <n v="1007"/>
    <x v="6"/>
    <x v="2"/>
    <x v="1"/>
    <x v="6"/>
    <n v="2"/>
    <n v="210"/>
    <n v="420"/>
  </r>
  <r>
    <n v="1008"/>
    <x v="7"/>
    <x v="0"/>
    <x v="2"/>
    <x v="7"/>
    <n v="15"/>
    <n v="30"/>
    <n v="450"/>
  </r>
  <r>
    <n v="1009"/>
    <x v="8"/>
    <x v="3"/>
    <x v="0"/>
    <x v="8"/>
    <n v="4"/>
    <n v="60"/>
    <n v="240"/>
  </r>
  <r>
    <n v="1010"/>
    <x v="9"/>
    <x v="1"/>
    <x v="2"/>
    <x v="9"/>
    <n v="6"/>
    <n v="35"/>
    <n v="2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L2:O6" firstHeaderRow="0" firstDataRow="1" firstDataCol="1"/>
  <pivotFields count="8">
    <pivotField showAll="0"/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multipleItemSelectionAllowed="1" showAll="0">
      <items count="5">
        <item x="2"/>
        <item x="3"/>
        <item x="1"/>
        <item x="0"/>
        <item t="default"/>
      </items>
    </pivotField>
    <pivotField axis="axisRow" showAll="0">
      <items count="4">
        <item x="1"/>
        <item x="2"/>
        <item sd="0" x="0"/>
        <item t="default"/>
      </items>
    </pivotField>
    <pivotField multipleItemSelectionAllowed="1" showAll="0">
      <items count="11">
        <item x="9"/>
        <item x="6"/>
        <item x="8"/>
        <item x="0"/>
        <item x="4"/>
        <item x="2"/>
        <item x="1"/>
        <item x="3"/>
        <item x="5"/>
        <item x="7"/>
        <item t="default"/>
      </items>
    </pivotField>
    <pivotField dataField="1" showAll="0"/>
    <pivotField dataField="1"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إجمالي المبيعات ($)" fld="7" baseField="0" baseItem="0"/>
    <dataField name="Sum of الكمية" fld="5" baseField="0" baseItem="0"/>
    <dataField name="Sum of سعر الوحدة ($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4" totalsRowShown="0">
  <autoFilter ref="A1:C4"/>
  <tableColumns count="3">
    <tableColumn id="1" name="نوع الباقة "/>
    <tableColumn id="2" name="المدينة " dataDxfId="8"/>
    <tableColumn id="3" name="رقم العميل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I5:K8" totalsRowShown="0">
  <autoFilter ref="I5:K8"/>
  <tableColumns count="3">
    <tableColumn id="1" name="نوع الباقة "/>
    <tableColumn id="2" name="المدينة " dataDxfId="6"/>
    <tableColumn id="3" name="رقم العميل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G4:I11" totalsRowShown="0" headerRowDxfId="4">
  <autoFilter ref="G4:I11">
    <filterColumn colId="0">
      <filters>
        <filter val="مفوتر"/>
      </filters>
    </filterColumn>
  </autoFilter>
  <tableColumns count="3">
    <tableColumn id="1" name="نوع الباقة "/>
    <tableColumn id="2" name="المدينة " dataDxfId="3"/>
    <tableColumn id="3" name="رقم العميل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H2" totalsRowShown="0">
  <autoFilter ref="A1:H2"/>
  <tableColumns count="8">
    <tableColumn id="1" name="رقم الطلب"/>
    <tableColumn id="2" name="تاريخ الطلب" dataDxfId="1"/>
    <tableColumn id="3" name="المنطقة"/>
    <tableColumn id="4" name="الفئة"/>
    <tableColumn id="5" name="اسم المنتج"/>
    <tableColumn id="6" name="الكمية"/>
    <tableColumn id="7" name="سعر الوحدة ($)"/>
    <tableColumn id="8" name="إجمالي المبيعات ($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2" totalsRowShown="0">
  <autoFilter ref="A1:H2"/>
  <tableColumns count="8">
    <tableColumn id="1" name="رقم الطلب"/>
    <tableColumn id="2" name="تاريخ الطلب" dataDxfId="0"/>
    <tableColumn id="3" name="المنطقة"/>
    <tableColumn id="4" name="الفئة"/>
    <tableColumn id="5" name="اسم المنتج"/>
    <tableColumn id="6" name="الكمية"/>
    <tableColumn id="7" name="سعر الوحدة ($)"/>
    <tableColumn id="8" name="إجمالي المبيعات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B33" sqref="B33"/>
    </sheetView>
  </sheetViews>
  <sheetFormatPr defaultColWidth="15.09765625" defaultRowHeight="13.8" x14ac:dyDescent="0.25"/>
  <sheetData>
    <row r="1" spans="1:11" x14ac:dyDescent="0.25">
      <c r="A1" t="s">
        <v>2</v>
      </c>
      <c r="B1" s="1" t="s">
        <v>1</v>
      </c>
      <c r="C1" s="1" t="s">
        <v>0</v>
      </c>
    </row>
    <row r="2" spans="1:11" x14ac:dyDescent="0.25">
      <c r="A2" t="s">
        <v>3</v>
      </c>
      <c r="B2" s="1" t="s">
        <v>5</v>
      </c>
      <c r="C2" s="6">
        <v>1001</v>
      </c>
    </row>
    <row r="3" spans="1:11" x14ac:dyDescent="0.25">
      <c r="A3" t="s">
        <v>4</v>
      </c>
      <c r="B3" s="1" t="s">
        <v>6</v>
      </c>
      <c r="C3" s="6">
        <v>1002</v>
      </c>
    </row>
    <row r="4" spans="1:11" x14ac:dyDescent="0.25">
      <c r="A4" t="s">
        <v>3</v>
      </c>
      <c r="B4" s="1" t="s">
        <v>7</v>
      </c>
      <c r="C4" s="6">
        <v>1003</v>
      </c>
    </row>
    <row r="7" spans="1:11" x14ac:dyDescent="0.25">
      <c r="I7" s="2" t="s">
        <v>8</v>
      </c>
      <c r="J7" s="2" t="s">
        <v>9</v>
      </c>
      <c r="K7" s="2" t="s">
        <v>10</v>
      </c>
    </row>
    <row r="8" spans="1:11" ht="15" x14ac:dyDescent="0.25">
      <c r="I8" s="5">
        <v>2.5</v>
      </c>
      <c r="J8" s="4">
        <v>50</v>
      </c>
      <c r="K8" s="3" t="s">
        <v>11</v>
      </c>
    </row>
    <row r="9" spans="1:11" ht="15" x14ac:dyDescent="0.25">
      <c r="I9" s="5">
        <v>8</v>
      </c>
      <c r="J9" s="4">
        <v>30</v>
      </c>
      <c r="K9" s="3" t="s">
        <v>12</v>
      </c>
    </row>
    <row r="10" spans="1:11" ht="15" x14ac:dyDescent="0.25">
      <c r="I10" s="5">
        <v>1.5</v>
      </c>
      <c r="J10" s="4">
        <v>40</v>
      </c>
      <c r="K10" s="3" t="s">
        <v>13</v>
      </c>
    </row>
    <row r="11" spans="1:11" ht="15" x14ac:dyDescent="0.25">
      <c r="I11" s="5">
        <v>3</v>
      </c>
      <c r="J11" s="4">
        <v>25</v>
      </c>
      <c r="K11" s="3" t="s">
        <v>15</v>
      </c>
    </row>
    <row r="12" spans="1:11" ht="15" x14ac:dyDescent="0.25">
      <c r="I12" s="5">
        <v>12</v>
      </c>
      <c r="J12" s="4">
        <v>15</v>
      </c>
      <c r="K12" s="3" t="s">
        <v>14</v>
      </c>
    </row>
    <row r="13" spans="1:11" x14ac:dyDescent="0.25">
      <c r="D13" t="s">
        <v>18</v>
      </c>
      <c r="E13" t="s">
        <v>17</v>
      </c>
      <c r="F13">
        <f>1+1</f>
        <v>2</v>
      </c>
      <c r="G13" t="s">
        <v>16</v>
      </c>
    </row>
    <row r="14" spans="1:11" x14ac:dyDescent="0.25">
      <c r="D14">
        <f>(G14+F14)/2</f>
        <v>9.5</v>
      </c>
      <c r="E14">
        <f>F14+G14</f>
        <v>19</v>
      </c>
      <c r="F14">
        <v>9</v>
      </c>
      <c r="G14">
        <v>10</v>
      </c>
    </row>
    <row r="15" spans="1:11" x14ac:dyDescent="0.25">
      <c r="D15">
        <f t="shared" ref="D15:D18" si="0">(G15+F15)/2</f>
        <v>13.5</v>
      </c>
      <c r="E15">
        <f t="shared" ref="E15:E18" si="1">F15+G15</f>
        <v>27</v>
      </c>
      <c r="F15">
        <v>12</v>
      </c>
      <c r="G15">
        <v>15</v>
      </c>
    </row>
    <row r="16" spans="1:11" x14ac:dyDescent="0.25">
      <c r="D16">
        <f t="shared" si="0"/>
        <v>9.5</v>
      </c>
      <c r="E16">
        <f t="shared" si="1"/>
        <v>19</v>
      </c>
      <c r="F16">
        <v>7</v>
      </c>
      <c r="G16">
        <v>12</v>
      </c>
    </row>
    <row r="17" spans="4:7" x14ac:dyDescent="0.25">
      <c r="D17">
        <f t="shared" si="0"/>
        <v>14</v>
      </c>
      <c r="E17">
        <f t="shared" si="1"/>
        <v>28</v>
      </c>
      <c r="F17">
        <v>14</v>
      </c>
      <c r="G17">
        <v>14</v>
      </c>
    </row>
    <row r="18" spans="4:7" x14ac:dyDescent="0.25">
      <c r="D18">
        <f t="shared" si="0"/>
        <v>13</v>
      </c>
      <c r="E18">
        <f t="shared" si="1"/>
        <v>26</v>
      </c>
      <c r="F18">
        <v>13</v>
      </c>
      <c r="G18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5:K18"/>
  <sheetViews>
    <sheetView workbookViewId="0">
      <selection activeCell="F31" sqref="F31"/>
    </sheetView>
  </sheetViews>
  <sheetFormatPr defaultRowHeight="13.8" x14ac:dyDescent="0.25"/>
  <cols>
    <col min="9" max="9" width="12.09765625" customWidth="1"/>
    <col min="10" max="10" width="10.796875" customWidth="1"/>
    <col min="11" max="11" width="19.09765625" customWidth="1"/>
  </cols>
  <sheetData>
    <row r="5" spans="8:11" x14ac:dyDescent="0.25">
      <c r="H5" s="10" t="s">
        <v>19</v>
      </c>
      <c r="I5" s="8" t="s">
        <v>2</v>
      </c>
      <c r="J5" s="7" t="s">
        <v>1</v>
      </c>
      <c r="K5" s="7" t="s">
        <v>0</v>
      </c>
    </row>
    <row r="6" spans="8:11" x14ac:dyDescent="0.25">
      <c r="H6" s="10">
        <v>300</v>
      </c>
      <c r="I6" t="s">
        <v>3</v>
      </c>
      <c r="J6" s="1" t="s">
        <v>5</v>
      </c>
      <c r="K6" s="6">
        <v>1001</v>
      </c>
    </row>
    <row r="7" spans="8:11" x14ac:dyDescent="0.25">
      <c r="H7" s="10">
        <v>250</v>
      </c>
      <c r="I7" t="s">
        <v>4</v>
      </c>
      <c r="J7" s="1" t="s">
        <v>6</v>
      </c>
      <c r="K7" s="6">
        <v>1002</v>
      </c>
    </row>
    <row r="8" spans="8:11" x14ac:dyDescent="0.25">
      <c r="H8" s="10">
        <v>400</v>
      </c>
      <c r="I8" t="s">
        <v>3</v>
      </c>
      <c r="J8" s="1" t="s">
        <v>7</v>
      </c>
      <c r="K8" s="6">
        <v>1003</v>
      </c>
    </row>
    <row r="14" spans="8:11" x14ac:dyDescent="0.25">
      <c r="I14">
        <f>SUM(H6:H8)</f>
        <v>950</v>
      </c>
      <c r="J14" s="9">
        <f>SUM(H6:H8)</f>
        <v>950</v>
      </c>
      <c r="K14" s="11" t="s">
        <v>20</v>
      </c>
    </row>
    <row r="15" spans="8:11" x14ac:dyDescent="0.25">
      <c r="I15">
        <f>AVERAGE(H6:H8)</f>
        <v>316.66666666666669</v>
      </c>
      <c r="J15" s="9">
        <f>AVERAGE(H6:H8)</f>
        <v>316.66666666666669</v>
      </c>
      <c r="K15" s="11" t="s">
        <v>21</v>
      </c>
    </row>
    <row r="16" spans="8:11" x14ac:dyDescent="0.25">
      <c r="I16">
        <f>COUNT(H6:H8)</f>
        <v>3</v>
      </c>
      <c r="J16" s="9">
        <f>COUNT(H6:H8)</f>
        <v>3</v>
      </c>
      <c r="K16" s="11" t="s">
        <v>22</v>
      </c>
    </row>
    <row r="17" spans="9:11" x14ac:dyDescent="0.25">
      <c r="I17">
        <f>MIN(H6:H8)</f>
        <v>250</v>
      </c>
      <c r="J17" s="9">
        <f>MIN(H6:H8)</f>
        <v>250</v>
      </c>
      <c r="K17" s="11" t="s">
        <v>23</v>
      </c>
    </row>
    <row r="18" spans="9:11" x14ac:dyDescent="0.25">
      <c r="I18">
        <f>MAX(H6:H8)</f>
        <v>400</v>
      </c>
      <c r="J18" s="9">
        <f>MAX(H6:H8)</f>
        <v>400</v>
      </c>
      <c r="K18" s="1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I11"/>
  <sheetViews>
    <sheetView workbookViewId="0">
      <selection activeCell="I4" sqref="G4:I11"/>
    </sheetView>
  </sheetViews>
  <sheetFormatPr defaultRowHeight="13.8" x14ac:dyDescent="0.25"/>
  <cols>
    <col min="6" max="6" width="6.5" customWidth="1"/>
    <col min="7" max="7" width="11.09765625" customWidth="1"/>
    <col min="8" max="8" width="10.3984375" customWidth="1"/>
    <col min="9" max="9" width="11.8984375" customWidth="1"/>
  </cols>
  <sheetData>
    <row r="4" spans="7:9" x14ac:dyDescent="0.25">
      <c r="G4" s="8" t="s">
        <v>2</v>
      </c>
      <c r="H4" s="7" t="s">
        <v>1</v>
      </c>
      <c r="I4" s="7" t="s">
        <v>0</v>
      </c>
    </row>
    <row r="5" spans="7:9" x14ac:dyDescent="0.25">
      <c r="G5" t="s">
        <v>3</v>
      </c>
      <c r="H5" s="1" t="s">
        <v>5</v>
      </c>
      <c r="I5" s="6">
        <v>1001</v>
      </c>
    </row>
    <row r="6" spans="7:9" hidden="1" x14ac:dyDescent="0.25">
      <c r="G6" t="s">
        <v>4</v>
      </c>
      <c r="H6" s="1" t="s">
        <v>6</v>
      </c>
      <c r="I6" s="6">
        <v>1002</v>
      </c>
    </row>
    <row r="7" spans="7:9" hidden="1" x14ac:dyDescent="0.25">
      <c r="G7" t="s">
        <v>4</v>
      </c>
      <c r="H7" s="1" t="s">
        <v>5</v>
      </c>
      <c r="I7" s="6">
        <v>1003</v>
      </c>
    </row>
    <row r="8" spans="7:9" x14ac:dyDescent="0.25">
      <c r="G8" t="s">
        <v>3</v>
      </c>
      <c r="H8" s="1" t="s">
        <v>7</v>
      </c>
      <c r="I8" s="6">
        <v>1004</v>
      </c>
    </row>
    <row r="9" spans="7:9" hidden="1" x14ac:dyDescent="0.25">
      <c r="G9" t="s">
        <v>4</v>
      </c>
      <c r="H9" s="1" t="s">
        <v>7</v>
      </c>
      <c r="I9" s="6">
        <v>1005</v>
      </c>
    </row>
    <row r="10" spans="7:9" x14ac:dyDescent="0.25">
      <c r="G10" t="s">
        <v>3</v>
      </c>
      <c r="H10" s="1" t="s">
        <v>6</v>
      </c>
      <c r="I10" s="6">
        <v>1006</v>
      </c>
    </row>
    <row r="11" spans="7:9" x14ac:dyDescent="0.25">
      <c r="G11" t="s">
        <v>3</v>
      </c>
      <c r="H11" s="1" t="s">
        <v>5</v>
      </c>
      <c r="I11" s="6">
        <v>1007</v>
      </c>
    </row>
  </sheetData>
  <sortState ref="P3:P11">
    <sortCondition ref="P3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3.8" x14ac:dyDescent="0.25"/>
  <cols>
    <col min="2" max="2" width="9.59765625" customWidth="1"/>
    <col min="7" max="7" width="12" customWidth="1"/>
    <col min="8" max="8" width="14.296875" customWidth="1"/>
  </cols>
  <sheetData>
    <row r="1" spans="1:8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25">
      <c r="A2">
        <v>1002</v>
      </c>
      <c r="B2" s="17">
        <v>45298</v>
      </c>
      <c r="C2" t="s">
        <v>45</v>
      </c>
      <c r="D2" t="s">
        <v>46</v>
      </c>
      <c r="E2" t="s">
        <v>47</v>
      </c>
      <c r="F2">
        <v>5</v>
      </c>
      <c r="G2">
        <v>80</v>
      </c>
      <c r="H2">
        <v>400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3.8" x14ac:dyDescent="0.25"/>
  <cols>
    <col min="2" max="2" width="9.59765625" customWidth="1"/>
    <col min="7" max="7" width="12" customWidth="1"/>
    <col min="8" max="8" width="14.296875" customWidth="1"/>
  </cols>
  <sheetData>
    <row r="1" spans="1:8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 x14ac:dyDescent="0.25">
      <c r="A2">
        <v>1007</v>
      </c>
      <c r="B2" s="17">
        <v>45311</v>
      </c>
      <c r="C2" t="s">
        <v>48</v>
      </c>
      <c r="D2" t="s">
        <v>46</v>
      </c>
      <c r="E2" t="s">
        <v>55</v>
      </c>
      <c r="F2">
        <v>2</v>
      </c>
      <c r="G2">
        <v>210</v>
      </c>
      <c r="H2">
        <v>420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:O6"/>
  <sheetViews>
    <sheetView showGridLines="0" tabSelected="1" topLeftCell="D1" workbookViewId="0">
      <selection activeCell="D30" sqref="D30"/>
    </sheetView>
  </sheetViews>
  <sheetFormatPr defaultRowHeight="13.8" x14ac:dyDescent="0.25"/>
  <cols>
    <col min="1" max="1" width="13.09765625" customWidth="1"/>
    <col min="2" max="2" width="19.5" customWidth="1"/>
    <col min="3" max="3" width="10.8984375" customWidth="1"/>
    <col min="4" max="4" width="17.19921875" customWidth="1"/>
    <col min="5" max="5" width="13.3984375" bestFit="1" customWidth="1"/>
    <col min="7" max="7" width="21.3984375" customWidth="1"/>
    <col min="8" max="8" width="19.5" bestFit="1" customWidth="1"/>
    <col min="9" max="9" width="10.8984375" customWidth="1"/>
    <col min="10" max="10" width="13.09765625" customWidth="1"/>
    <col min="11" max="11" width="19.5" bestFit="1" customWidth="1"/>
    <col min="12" max="12" width="13.09765625" bestFit="1" customWidth="1"/>
    <col min="13" max="13" width="19.5" bestFit="1" customWidth="1"/>
    <col min="14" max="14" width="10.8984375" bestFit="1" customWidth="1"/>
    <col min="15" max="15" width="17.19921875" bestFit="1" customWidth="1"/>
    <col min="16" max="16" width="8.8984375" bestFit="1" customWidth="1"/>
    <col min="17" max="17" width="15.8984375" bestFit="1" customWidth="1"/>
    <col min="18" max="18" width="10.8984375" bestFit="1" customWidth="1"/>
    <col min="19" max="19" width="8" customWidth="1"/>
    <col min="20" max="20" width="8.09765625" customWidth="1"/>
    <col min="21" max="21" width="15.59765625" bestFit="1" customWidth="1"/>
    <col min="22" max="22" width="10.09765625" bestFit="1" customWidth="1"/>
    <col min="23" max="23" width="9.09765625" bestFit="1" customWidth="1"/>
    <col min="24" max="24" width="11.3984375" bestFit="1" customWidth="1"/>
    <col min="25" max="25" width="12.59765625" bestFit="1" customWidth="1"/>
    <col min="26" max="26" width="8.8984375" bestFit="1" customWidth="1"/>
    <col min="27" max="27" width="15.8984375" bestFit="1" customWidth="1"/>
    <col min="28" max="28" width="17.19921875" bestFit="1" customWidth="1"/>
    <col min="29" max="29" width="8" customWidth="1"/>
    <col min="30" max="30" width="8.09765625" customWidth="1"/>
    <col min="31" max="31" width="15.59765625" bestFit="1" customWidth="1"/>
    <col min="32" max="32" width="10.09765625" bestFit="1" customWidth="1"/>
    <col min="33" max="33" width="9.09765625" bestFit="1" customWidth="1"/>
    <col min="34" max="34" width="11.3984375" bestFit="1" customWidth="1"/>
    <col min="35" max="35" width="12.59765625" bestFit="1" customWidth="1"/>
    <col min="36" max="36" width="8.8984375" bestFit="1" customWidth="1"/>
    <col min="37" max="37" width="15.8984375" bestFit="1" customWidth="1"/>
    <col min="38" max="38" width="24.3984375" bestFit="1" customWidth="1"/>
    <col min="39" max="39" width="15.796875" bestFit="1" customWidth="1"/>
    <col min="40" max="40" width="22.09765625" bestFit="1" customWidth="1"/>
  </cols>
  <sheetData>
    <row r="2" spans="12:15" x14ac:dyDescent="0.25">
      <c r="L2" s="20" t="s">
        <v>62</v>
      </c>
      <c r="M2" t="s">
        <v>59</v>
      </c>
      <c r="N2" t="s">
        <v>61</v>
      </c>
      <c r="O2" t="s">
        <v>60</v>
      </c>
    </row>
    <row r="3" spans="12:15" x14ac:dyDescent="0.25">
      <c r="L3" s="21" t="s">
        <v>46</v>
      </c>
      <c r="M3" s="19">
        <v>1370</v>
      </c>
      <c r="N3" s="19">
        <v>8</v>
      </c>
      <c r="O3" s="19">
        <v>840</v>
      </c>
    </row>
    <row r="4" spans="12:15" x14ac:dyDescent="0.25">
      <c r="L4" s="21" t="s">
        <v>49</v>
      </c>
      <c r="M4" s="19">
        <v>810</v>
      </c>
      <c r="N4" s="19">
        <v>31</v>
      </c>
      <c r="O4" s="19">
        <v>80</v>
      </c>
    </row>
    <row r="5" spans="12:15" x14ac:dyDescent="0.25">
      <c r="L5" s="21" t="s">
        <v>43</v>
      </c>
      <c r="M5" s="19">
        <v>875</v>
      </c>
      <c r="N5" s="19">
        <v>17</v>
      </c>
      <c r="O5" s="19">
        <v>280</v>
      </c>
    </row>
    <row r="6" spans="12:15" x14ac:dyDescent="0.25">
      <c r="L6" s="21" t="s">
        <v>63</v>
      </c>
      <c r="M6" s="19">
        <v>3055</v>
      </c>
      <c r="N6" s="19">
        <v>56</v>
      </c>
      <c r="O6" s="19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5:N16"/>
  <sheetViews>
    <sheetView workbookViewId="0">
      <selection activeCell="G6" sqref="G6:N16"/>
    </sheetView>
  </sheetViews>
  <sheetFormatPr defaultRowHeight="13.8" x14ac:dyDescent="0.25"/>
  <cols>
    <col min="7" max="7" width="6.59765625" bestFit="1" customWidth="1"/>
    <col min="8" max="8" width="8.8984375" bestFit="1" customWidth="1"/>
    <col min="9" max="9" width="5.5" bestFit="1" customWidth="1"/>
    <col min="10" max="10" width="8.296875" bestFit="1" customWidth="1"/>
    <col min="11" max="11" width="8.3984375" bestFit="1" customWidth="1"/>
    <col min="12" max="12" width="4.19921875" bestFit="1" customWidth="1"/>
    <col min="13" max="13" width="8.09765625" bestFit="1" customWidth="1"/>
    <col min="14" max="14" width="10.3984375" bestFit="1" customWidth="1"/>
  </cols>
  <sheetData>
    <row r="5" spans="7:14" ht="14.4" thickBot="1" x14ac:dyDescent="0.3"/>
    <row r="6" spans="7:14" ht="28.2" thickBot="1" x14ac:dyDescent="0.3">
      <c r="G6" s="15" t="s">
        <v>34</v>
      </c>
      <c r="H6" s="15" t="s">
        <v>35</v>
      </c>
      <c r="I6" s="15" t="s">
        <v>36</v>
      </c>
      <c r="J6" s="15" t="s">
        <v>37</v>
      </c>
      <c r="K6" s="15" t="s">
        <v>38</v>
      </c>
      <c r="L6" s="15" t="s">
        <v>39</v>
      </c>
      <c r="M6" s="15" t="s">
        <v>40</v>
      </c>
      <c r="N6" s="15" t="s">
        <v>41</v>
      </c>
    </row>
    <row r="7" spans="7:14" ht="42" thickBot="1" x14ac:dyDescent="0.3">
      <c r="G7" s="16">
        <v>1001</v>
      </c>
      <c r="H7" s="18">
        <v>45296</v>
      </c>
      <c r="I7" s="16" t="s">
        <v>42</v>
      </c>
      <c r="J7" s="16" t="s">
        <v>43</v>
      </c>
      <c r="K7" s="16" t="s">
        <v>44</v>
      </c>
      <c r="L7" s="16">
        <v>2</v>
      </c>
      <c r="M7" s="16">
        <v>150</v>
      </c>
      <c r="N7" s="16">
        <v>300</v>
      </c>
    </row>
    <row r="8" spans="7:14" ht="28.2" thickBot="1" x14ac:dyDescent="0.3">
      <c r="G8" s="16">
        <v>1002</v>
      </c>
      <c r="H8" s="18">
        <v>45298</v>
      </c>
      <c r="I8" s="16" t="s">
        <v>45</v>
      </c>
      <c r="J8" s="16" t="s">
        <v>46</v>
      </c>
      <c r="K8" s="16" t="s">
        <v>47</v>
      </c>
      <c r="L8" s="16">
        <v>5</v>
      </c>
      <c r="M8" s="16">
        <v>80</v>
      </c>
      <c r="N8" s="16">
        <v>400</v>
      </c>
    </row>
    <row r="9" spans="7:14" ht="28.2" thickBot="1" x14ac:dyDescent="0.3">
      <c r="G9" s="16">
        <v>1003</v>
      </c>
      <c r="H9" s="18">
        <v>45301</v>
      </c>
      <c r="I9" s="16" t="s">
        <v>48</v>
      </c>
      <c r="J9" s="16" t="s">
        <v>49</v>
      </c>
      <c r="K9" s="16" t="s">
        <v>50</v>
      </c>
      <c r="L9" s="16">
        <v>10</v>
      </c>
      <c r="M9" s="16">
        <v>15</v>
      </c>
      <c r="N9" s="16">
        <v>150</v>
      </c>
    </row>
    <row r="10" spans="7:14" ht="28.2" thickBot="1" x14ac:dyDescent="0.3">
      <c r="G10" s="16">
        <v>1004</v>
      </c>
      <c r="H10" s="18">
        <v>45303</v>
      </c>
      <c r="I10" s="16" t="s">
        <v>51</v>
      </c>
      <c r="J10" s="16" t="s">
        <v>43</v>
      </c>
      <c r="K10" s="16" t="s">
        <v>52</v>
      </c>
      <c r="L10" s="16">
        <v>3</v>
      </c>
      <c r="M10" s="16">
        <v>45</v>
      </c>
      <c r="N10" s="16">
        <v>135</v>
      </c>
    </row>
    <row r="11" spans="7:14" ht="28.2" thickBot="1" x14ac:dyDescent="0.3">
      <c r="G11" s="16">
        <v>1005</v>
      </c>
      <c r="H11" s="18">
        <v>45306</v>
      </c>
      <c r="I11" s="16" t="s">
        <v>42</v>
      </c>
      <c r="J11" s="16" t="s">
        <v>46</v>
      </c>
      <c r="K11" s="16" t="s">
        <v>53</v>
      </c>
      <c r="L11" s="16">
        <v>1</v>
      </c>
      <c r="M11" s="16">
        <v>550</v>
      </c>
      <c r="N11" s="16">
        <v>550</v>
      </c>
    </row>
    <row r="12" spans="7:14" ht="28.2" thickBot="1" x14ac:dyDescent="0.3">
      <c r="G12" s="16">
        <v>1006</v>
      </c>
      <c r="H12" s="18">
        <v>45309</v>
      </c>
      <c r="I12" s="16" t="s">
        <v>45</v>
      </c>
      <c r="J12" s="16" t="s">
        <v>43</v>
      </c>
      <c r="K12" s="16" t="s">
        <v>54</v>
      </c>
      <c r="L12" s="16">
        <v>8</v>
      </c>
      <c r="M12" s="16">
        <v>25</v>
      </c>
      <c r="N12" s="16">
        <v>200</v>
      </c>
    </row>
    <row r="13" spans="7:14" ht="14.4" thickBot="1" x14ac:dyDescent="0.3">
      <c r="G13" s="16">
        <v>1007</v>
      </c>
      <c r="H13" s="18">
        <v>45311</v>
      </c>
      <c r="I13" s="16" t="s">
        <v>48</v>
      </c>
      <c r="J13" s="16" t="s">
        <v>46</v>
      </c>
      <c r="K13" s="16" t="s">
        <v>55</v>
      </c>
      <c r="L13" s="16">
        <v>2</v>
      </c>
      <c r="M13" s="16">
        <v>210</v>
      </c>
      <c r="N13" s="16">
        <v>420</v>
      </c>
    </row>
    <row r="14" spans="7:14" ht="28.2" thickBot="1" x14ac:dyDescent="0.3">
      <c r="G14" s="16">
        <v>1008</v>
      </c>
      <c r="H14" s="18">
        <v>45313</v>
      </c>
      <c r="I14" s="16" t="s">
        <v>42</v>
      </c>
      <c r="J14" s="16" t="s">
        <v>49</v>
      </c>
      <c r="K14" s="16" t="s">
        <v>56</v>
      </c>
      <c r="L14" s="16">
        <v>15</v>
      </c>
      <c r="M14" s="16">
        <v>30</v>
      </c>
      <c r="N14" s="16">
        <v>450</v>
      </c>
    </row>
    <row r="15" spans="7:14" ht="14.4" thickBot="1" x14ac:dyDescent="0.3">
      <c r="G15" s="16">
        <v>1009</v>
      </c>
      <c r="H15" s="18">
        <v>45316</v>
      </c>
      <c r="I15" s="16" t="s">
        <v>51</v>
      </c>
      <c r="J15" s="16" t="s">
        <v>43</v>
      </c>
      <c r="K15" s="16" t="s">
        <v>57</v>
      </c>
      <c r="L15" s="16">
        <v>4</v>
      </c>
      <c r="M15" s="16">
        <v>60</v>
      </c>
      <c r="N15" s="16">
        <v>240</v>
      </c>
    </row>
    <row r="16" spans="7:14" ht="14.4" thickBot="1" x14ac:dyDescent="0.3">
      <c r="G16" s="16">
        <v>1010</v>
      </c>
      <c r="H16" s="18">
        <v>45319</v>
      </c>
      <c r="I16" s="16" t="s">
        <v>45</v>
      </c>
      <c r="J16" s="16" t="s">
        <v>49</v>
      </c>
      <c r="K16" s="16" t="s">
        <v>58</v>
      </c>
      <c r="L16" s="16">
        <v>6</v>
      </c>
      <c r="M16" s="16">
        <v>35</v>
      </c>
      <c r="N16" s="16">
        <v>210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4:Q12"/>
  <sheetViews>
    <sheetView workbookViewId="0">
      <selection activeCell="Q18" sqref="Q18"/>
    </sheetView>
  </sheetViews>
  <sheetFormatPr defaultRowHeight="13.8" x14ac:dyDescent="0.25"/>
  <cols>
    <col min="7" max="7" width="12.59765625" bestFit="1" customWidth="1"/>
    <col min="8" max="8" width="12.296875" customWidth="1"/>
    <col min="15" max="15" width="2.796875" customWidth="1"/>
    <col min="16" max="16" width="12.8984375" customWidth="1"/>
    <col min="17" max="17" width="17.296875" customWidth="1"/>
  </cols>
  <sheetData>
    <row r="4" spans="15:17" x14ac:dyDescent="0.25">
      <c r="O4" s="14" t="s">
        <v>33</v>
      </c>
      <c r="P4" s="14"/>
      <c r="Q4" s="14"/>
    </row>
    <row r="5" spans="15:17" x14ac:dyDescent="0.25">
      <c r="O5" s="14"/>
      <c r="P5" s="14"/>
      <c r="Q5" s="14"/>
    </row>
    <row r="6" spans="15:17" x14ac:dyDescent="0.25">
      <c r="P6" s="13" t="s">
        <v>26</v>
      </c>
      <c r="Q6" s="13" t="s">
        <v>25</v>
      </c>
    </row>
    <row r="7" spans="15:17" x14ac:dyDescent="0.25">
      <c r="P7" s="12">
        <v>120</v>
      </c>
      <c r="Q7" s="13" t="s">
        <v>27</v>
      </c>
    </row>
    <row r="8" spans="15:17" x14ac:dyDescent="0.25">
      <c r="P8" s="12">
        <v>150</v>
      </c>
      <c r="Q8" s="13" t="s">
        <v>28</v>
      </c>
    </row>
    <row r="9" spans="15:17" x14ac:dyDescent="0.25">
      <c r="P9" s="12">
        <v>180</v>
      </c>
      <c r="Q9" s="13" t="s">
        <v>29</v>
      </c>
    </row>
    <row r="10" spans="15:17" x14ac:dyDescent="0.25">
      <c r="P10" s="12">
        <v>160</v>
      </c>
      <c r="Q10" s="13" t="s">
        <v>30</v>
      </c>
    </row>
    <row r="11" spans="15:17" x14ac:dyDescent="0.25">
      <c r="P11" s="12">
        <v>210</v>
      </c>
      <c r="Q11" s="13" t="s">
        <v>31</v>
      </c>
    </row>
    <row r="12" spans="15:17" x14ac:dyDescent="0.25">
      <c r="P12" s="12">
        <v>190</v>
      </c>
      <c r="Q12" s="13" t="s">
        <v>32</v>
      </c>
    </row>
  </sheetData>
  <mergeCells count="1">
    <mergeCell ref="O4:Q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مكتبة </vt:lpstr>
      <vt:lpstr>باقة الاتصالات</vt:lpstr>
      <vt:lpstr>ورقة 2</vt:lpstr>
      <vt:lpstr>Sheet3</vt:lpstr>
      <vt:lpstr>Sheet4</vt:lpstr>
      <vt:lpstr>Sheet2</vt:lpstr>
      <vt:lpstr>Sheet1</vt:lpstr>
      <vt:lpstr>استعاره الكتب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2026-09-08T23:38:17Z</cp:lastPrinted>
  <dcterms:created xsi:type="dcterms:W3CDTF">2026-08-28T03:56:29Z</dcterms:created>
  <dcterms:modified xsi:type="dcterms:W3CDTF">2026-09-10T09:10:32Z</dcterms:modified>
</cp:coreProperties>
</file>